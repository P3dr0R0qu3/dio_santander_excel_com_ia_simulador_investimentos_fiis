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rcar\Downloads\"/>
    </mc:Choice>
  </mc:AlternateContent>
  <xr:revisionPtr revIDLastSave="0" documentId="13_ncr:1_{0CCA3630-86AE-4FAC-AA00-1880EBEE200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imulador" sheetId="1" r:id="rId1"/>
    <sheet name="Apoio" sheetId="2" r:id="rId2"/>
  </sheets>
  <definedNames>
    <definedName name="Aporte_Mensal">Simulador!$C$8</definedName>
    <definedName name="Patrimonio_Acumulado">Simulador!$C$14</definedName>
    <definedName name="Perfil_Escolhido">Simulador!$C$11</definedName>
    <definedName name="Prazo_Anos">Simulador!$C$9</definedName>
    <definedName name="Salario">Simulador!$C$6</definedName>
    <definedName name="Taxa_Mensal">Simulador!$C$10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G8" i="1" s="1"/>
  <c r="F9" i="1"/>
  <c r="G9" i="1" s="1"/>
  <c r="F10" i="1"/>
  <c r="G10" i="1" s="1"/>
  <c r="F11" i="1"/>
  <c r="G11" i="1" s="1"/>
  <c r="F12" i="1"/>
  <c r="G12" i="1" s="1"/>
  <c r="F7" i="1"/>
  <c r="G7" i="1" s="1"/>
  <c r="C23" i="1"/>
  <c r="C22" i="1"/>
  <c r="C21" i="1"/>
  <c r="C20" i="1"/>
  <c r="C19" i="1"/>
  <c r="C14" i="1"/>
  <c r="C15" i="1" s="1"/>
  <c r="C7" i="1"/>
</calcChain>
</file>

<file path=xl/sharedStrings.xml><?xml version="1.0" encoding="utf-8"?>
<sst xmlns="http://schemas.openxmlformats.org/spreadsheetml/2006/main" count="69" uniqueCount="50">
  <si>
    <t>SIMULADOR DE INVESTIMENTOS EM FIIs</t>
  </si>
  <si>
    <t>Parâmetros de Investimento</t>
  </si>
  <si>
    <t>Alocação Recomendada da Carteira</t>
  </si>
  <si>
    <t>Salário Mensal:</t>
  </si>
  <si>
    <t>Tipo de Fundo</t>
  </si>
  <si>
    <t>% Alocação</t>
  </si>
  <si>
    <t>Valor Aportado</t>
  </si>
  <si>
    <t>Aporte Sugerido (30%):</t>
  </si>
  <si>
    <t>Tijolo</t>
  </si>
  <si>
    <t>Aporte Mensal (R$):</t>
  </si>
  <si>
    <t>Papel</t>
  </si>
  <si>
    <t>Prazo (Anos):</t>
  </si>
  <si>
    <t>Fiagro</t>
  </si>
  <si>
    <t>Rendimento Mensal (%):</t>
  </si>
  <si>
    <t>FoF</t>
  </si>
  <si>
    <t>Perfil do Investidor:</t>
  </si>
  <si>
    <t>Infraestrutura</t>
  </si>
  <si>
    <t>Misto</t>
  </si>
  <si>
    <t>Resultados da Simulação</t>
  </si>
  <si>
    <t>Patrimônio Acumulado:</t>
  </si>
  <si>
    <t>Dividendos Mensais:</t>
  </si>
  <si>
    <t>Cenários de Longo Prazo</t>
  </si>
  <si>
    <t>Prazo</t>
  </si>
  <si>
    <t>Patrimônio Estimado</t>
  </si>
  <si>
    <t>2 anos</t>
  </si>
  <si>
    <t>5 anos</t>
  </si>
  <si>
    <t>10 anos</t>
  </si>
  <si>
    <t>20 anos</t>
  </si>
  <si>
    <t>30 anos</t>
  </si>
  <si>
    <t>Chave Composta</t>
  </si>
  <si>
    <t>Percentual</t>
  </si>
  <si>
    <t>ConservadorTijolo</t>
  </si>
  <si>
    <t>ConservadorPapel</t>
  </si>
  <si>
    <t>ConservadorFiagro</t>
  </si>
  <si>
    <t>ConservadorFoF</t>
  </si>
  <si>
    <t>ConservadorInfraestrutura</t>
  </si>
  <si>
    <t>ConservadorMisto</t>
  </si>
  <si>
    <t>ModeradoTijolo</t>
  </si>
  <si>
    <t>ModeradoPapel</t>
  </si>
  <si>
    <t>ModeradoFiagro</t>
  </si>
  <si>
    <t>ModeradoFoF</t>
  </si>
  <si>
    <t>ModeradoInfraestrutura</t>
  </si>
  <si>
    <t>ModeradoMisto</t>
  </si>
  <si>
    <t>ArrojadoTijolo</t>
  </si>
  <si>
    <t>ArrojadoPapel</t>
  </si>
  <si>
    <t>ArrojadoFiagro</t>
  </si>
  <si>
    <t>ArrojadoFoF</t>
  </si>
  <si>
    <t>ArrojadoInfraestrutura</t>
  </si>
  <si>
    <t>ArrojadoMisto</t>
  </si>
  <si>
    <t>Arrojado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</si>
</sst>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9" fontId="0" fillId="4" borderId="1" xfId="0" applyNumberFormat="1" applyFill="1" applyBorder="1"/>
    <xf numFmtId="1" fontId="0" fillId="3" borderId="1" xfId="0" applyNumberFormat="1" applyFill="1" applyBorder="1"/>
    <xf numFmtId="10" fontId="0" fillId="3" borderId="1" xfId="0" applyNumberFormat="1" applyFill="1" applyBorder="1"/>
    <xf numFmtId="0" fontId="0" fillId="0" borderId="1" xfId="0" applyBorder="1" applyAlignment="1">
      <alignment horizontal="right"/>
    </xf>
    <xf numFmtId="9" fontId="0" fillId="0" borderId="0" xfId="0" applyNumberFormat="1"/>
    <xf numFmtId="0" fontId="0" fillId="5" borderId="1" xfId="0" applyFill="1" applyBorder="1" applyAlignment="1">
      <alignment horizontal="center"/>
    </xf>
    <xf numFmtId="44" fontId="0" fillId="4" borderId="1" xfId="1" applyFont="1" applyFill="1" applyBorder="1"/>
    <xf numFmtId="44" fontId="0" fillId="3" borderId="1" xfId="1" applyFont="1" applyFill="1" applyBorder="1"/>
    <xf numFmtId="0" fontId="3" fillId="2" borderId="0" xfId="0" applyFont="1" applyFill="1" applyAlignment="1">
      <alignment horizontal="center"/>
    </xf>
    <xf numFmtId="0" fontId="0" fillId="0" borderId="0" xfId="0"/>
    <xf numFmtId="0" fontId="3" fillId="2" borderId="0" xfId="0" applyFont="1" applyFill="1"/>
    <xf numFmtId="0" fontId="1" fillId="2" borderId="0" xfId="0" applyFont="1" applyFill="1" applyAlignment="1">
      <alignment horizontal="center" vertical="center"/>
    </xf>
  </cellXfs>
  <cellStyles count="2">
    <cellStyle name="Moeda" xfId="1" builtinId="4"/>
    <cellStyle name="Normal" xfId="0" builtinId="0"/>
  </cellStyles>
  <dxfs count="4">
    <dxf>
      <font>
        <color theme="0" tint="-4.9989318521683403E-2"/>
      </font>
      <numFmt numFmtId="164" formatCode=";;;"/>
    </dxf>
    <dxf>
      <font>
        <b/>
        <i val="0"/>
        <color theme="9"/>
      </font>
      <fill>
        <patternFill>
          <bgColor theme="9" tint="0.79998168889431442"/>
        </patternFill>
      </fill>
    </dxf>
    <dxf>
      <font>
        <b/>
        <i val="0"/>
        <color rgb="FF92D050"/>
      </font>
      <fill>
        <patternFill>
          <bgColor theme="6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Divisão da Carteira por Fundo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Simulador!$F$6</c:f>
              <c:strCache>
                <c:ptCount val="1"/>
                <c:pt idx="0">
                  <c:v>% Alocação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0-C388-4DDE-8CD2-E9058323371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05A-4C56-89A8-2725F69818D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05A-4C56-89A8-2725F69818D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05A-4C56-89A8-2725F69818D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05A-4C56-89A8-2725F69818D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05A-4C56-89A8-2725F69818D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Simulador!$E$7:$E$12</c:f>
              <c:strCache>
                <c:ptCount val="6"/>
                <c:pt idx="0">
                  <c:v>Tijolo</c:v>
                </c:pt>
                <c:pt idx="1">
                  <c:v>Papel</c:v>
                </c:pt>
                <c:pt idx="2">
                  <c:v>Fiagro</c:v>
                </c:pt>
                <c:pt idx="3">
                  <c:v>FoF</c:v>
                </c:pt>
                <c:pt idx="4">
                  <c:v>Infraestrutura</c:v>
                </c:pt>
                <c:pt idx="5">
                  <c:v>Misto</c:v>
                </c:pt>
              </c:strCache>
            </c:strRef>
          </c:cat>
          <c:val>
            <c:numRef>
              <c:f>Simulador!$F$7:$F$12</c:f>
              <c:numCache>
                <c:formatCode>0%</c:formatCode>
                <c:ptCount val="6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C1-4090-9882-D4BD65827FA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047324378570325"/>
          <c:y val="0.21443339335846801"/>
          <c:w val="0.21070322680253203"/>
          <c:h val="0.6411959859505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209549</xdr:colOff>
      <xdr:row>12</xdr:row>
      <xdr:rowOff>179069</xdr:rowOff>
    </xdr:from>
    <xdr:ext cx="4048125" cy="291655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3"/>
  <sheetViews>
    <sheetView showGridLines="0" tabSelected="1" workbookViewId="0">
      <selection activeCell="T16" sqref="T16"/>
    </sheetView>
  </sheetViews>
  <sheetFormatPr defaultRowHeight="14.4" x14ac:dyDescent="0.3"/>
  <cols>
    <col min="1" max="1" width="3" customWidth="1"/>
    <col min="2" max="2" width="22" customWidth="1"/>
    <col min="3" max="3" width="20" customWidth="1"/>
    <col min="4" max="4" width="3" customWidth="1"/>
    <col min="5" max="5" width="18" customWidth="1"/>
    <col min="6" max="6" width="12" customWidth="1"/>
    <col min="7" max="7" width="18" customWidth="1"/>
  </cols>
  <sheetData>
    <row r="2" spans="2:8" x14ac:dyDescent="0.3">
      <c r="B2" s="15" t="s">
        <v>0</v>
      </c>
      <c r="C2" s="13"/>
      <c r="D2" s="13"/>
      <c r="E2" s="13"/>
      <c r="F2" s="13"/>
      <c r="G2" s="13"/>
      <c r="H2" s="13"/>
    </row>
    <row r="3" spans="2:8" x14ac:dyDescent="0.3">
      <c r="B3" s="13"/>
      <c r="C3" s="13"/>
      <c r="D3" s="13"/>
      <c r="E3" s="13"/>
      <c r="F3" s="13"/>
      <c r="G3" s="13"/>
      <c r="H3" s="13"/>
    </row>
    <row r="5" spans="2:8" x14ac:dyDescent="0.3">
      <c r="B5" s="14" t="s">
        <v>1</v>
      </c>
      <c r="C5" s="13"/>
      <c r="E5" s="12" t="s">
        <v>2</v>
      </c>
      <c r="F5" s="13"/>
      <c r="G5" s="13"/>
    </row>
    <row r="6" spans="2:8" x14ac:dyDescent="0.3">
      <c r="B6" s="1" t="s">
        <v>3</v>
      </c>
      <c r="C6" s="11">
        <v>4000</v>
      </c>
      <c r="E6" s="2" t="s">
        <v>4</v>
      </c>
      <c r="F6" s="2" t="s">
        <v>5</v>
      </c>
      <c r="G6" s="2" t="s">
        <v>6</v>
      </c>
    </row>
    <row r="7" spans="2:8" x14ac:dyDescent="0.3">
      <c r="B7" s="1" t="s">
        <v>7</v>
      </c>
      <c r="C7" s="10">
        <f>Salario*0.3</f>
        <v>1200</v>
      </c>
      <c r="E7" s="3" t="s">
        <v>8</v>
      </c>
      <c r="F7" s="4">
        <f>IF(VLOOKUP(Perfil_Escolhido&amp;E7, Apoio!$A$2:$C$19, 3, FALSE)=0, NA(), VLOOKUP(Perfil_Escolhido&amp;E7, Apoio!$A$2:$C$19, 3, FALSE))</f>
        <v>0.2</v>
      </c>
      <c r="G7" s="10">
        <f>IF(F7 * Aporte_Mensal = 0, NA(), F7 * Aporte_Mensal)</f>
        <v>240</v>
      </c>
    </row>
    <row r="8" spans="2:8" x14ac:dyDescent="0.3">
      <c r="B8" s="1" t="s">
        <v>9</v>
      </c>
      <c r="C8" s="11">
        <v>1200</v>
      </c>
      <c r="E8" s="3" t="s">
        <v>10</v>
      </c>
      <c r="F8" s="4">
        <f>IF(VLOOKUP(Perfil_Escolhido&amp;E8, Apoio!$A$2:$C$19, 3, FALSE)=0, NA(), VLOOKUP(Perfil_Escolhido&amp;E8, Apoio!$A$2:$C$19, 3, FALSE))</f>
        <v>0.2</v>
      </c>
      <c r="G8" s="10">
        <f t="shared" ref="G8:G12" si="0">F8 * Aporte_Mensal</f>
        <v>240</v>
      </c>
    </row>
    <row r="9" spans="2:8" x14ac:dyDescent="0.3">
      <c r="B9" s="1" t="s">
        <v>11</v>
      </c>
      <c r="C9" s="5">
        <v>5</v>
      </c>
      <c r="E9" s="3" t="s">
        <v>12</v>
      </c>
      <c r="F9" s="4">
        <f>IF(VLOOKUP(Perfil_Escolhido&amp;E9, Apoio!$A$2:$C$19, 3, FALSE)=0, NA(), VLOOKUP(Perfil_Escolhido&amp;E9, Apoio!$A$2:$C$19, 3, FALSE))</f>
        <v>0.2</v>
      </c>
      <c r="G9" s="10">
        <f t="shared" si="0"/>
        <v>240</v>
      </c>
    </row>
    <row r="10" spans="2:8" x14ac:dyDescent="0.3">
      <c r="B10" s="1" t="s">
        <v>13</v>
      </c>
      <c r="C10" s="6">
        <v>1.0200000000000001E-2</v>
      </c>
      <c r="E10" s="3" t="s">
        <v>14</v>
      </c>
      <c r="F10" s="4">
        <f>IF(VLOOKUP(Perfil_Escolhido&amp;E10, Apoio!$A$2:$C$19, 3, FALSE)=0, NA(), VLOOKUP(Perfil_Escolhido&amp;E10, Apoio!$A$2:$C$19, 3, FALSE))</f>
        <v>0.2</v>
      </c>
      <c r="G10" s="10">
        <f t="shared" si="0"/>
        <v>240</v>
      </c>
    </row>
    <row r="11" spans="2:8" x14ac:dyDescent="0.3">
      <c r="B11" s="1" t="s">
        <v>15</v>
      </c>
      <c r="C11" s="9" t="s">
        <v>49</v>
      </c>
      <c r="E11" s="3" t="s">
        <v>16</v>
      </c>
      <c r="F11" s="4">
        <f>IF(VLOOKUP(Perfil_Escolhido&amp;E11, Apoio!$A$2:$C$19, 3, FALSE)=0, NA(), VLOOKUP(Perfil_Escolhido&amp;E11, Apoio!$A$2:$C$19, 3, FALSE))</f>
        <v>0.1</v>
      </c>
      <c r="G11" s="10">
        <f t="shared" si="0"/>
        <v>120</v>
      </c>
    </row>
    <row r="12" spans="2:8" x14ac:dyDescent="0.3">
      <c r="E12" s="3" t="s">
        <v>17</v>
      </c>
      <c r="F12" s="4">
        <f>IF(VLOOKUP(Perfil_Escolhido&amp;E12, Apoio!$A$2:$C$19, 3, FALSE)=0, NA(), VLOOKUP(Perfil_Escolhido&amp;E12, Apoio!$A$2:$C$19, 3, FALSE))</f>
        <v>0.1</v>
      </c>
      <c r="G12" s="10">
        <f t="shared" si="0"/>
        <v>120</v>
      </c>
    </row>
    <row r="13" spans="2:8" x14ac:dyDescent="0.3">
      <c r="B13" s="12" t="s">
        <v>18</v>
      </c>
      <c r="C13" s="13"/>
    </row>
    <row r="14" spans="2:8" x14ac:dyDescent="0.3">
      <c r="B14" s="1" t="s">
        <v>19</v>
      </c>
      <c r="C14" s="10">
        <f>FV(Taxa_Mensal, Prazo_Anos*12, -Aporte_Mensal, 0, 0)</f>
        <v>98636.210074606701</v>
      </c>
    </row>
    <row r="15" spans="2:8" x14ac:dyDescent="0.3">
      <c r="B15" s="1" t="s">
        <v>20</v>
      </c>
      <c r="C15" s="10">
        <f>Patrimonio_Acumulado * Taxa_Mensal</f>
        <v>1006.0893427609884</v>
      </c>
    </row>
    <row r="17" spans="2:3" x14ac:dyDescent="0.3">
      <c r="B17" s="12" t="s">
        <v>21</v>
      </c>
      <c r="C17" s="13"/>
    </row>
    <row r="18" spans="2:3" x14ac:dyDescent="0.3">
      <c r="B18" s="2" t="s">
        <v>22</v>
      </c>
      <c r="C18" s="2" t="s">
        <v>23</v>
      </c>
    </row>
    <row r="19" spans="2:3" x14ac:dyDescent="0.3">
      <c r="B19" s="7" t="s">
        <v>24</v>
      </c>
      <c r="C19" s="10">
        <f>FV(Taxa_Mensal, 2*12, -Aporte_Mensal, 0, 0)</f>
        <v>32445.034430439024</v>
      </c>
    </row>
    <row r="20" spans="2:3" x14ac:dyDescent="0.3">
      <c r="B20" s="7" t="s">
        <v>25</v>
      </c>
      <c r="C20" s="10">
        <f>FV(Taxa_Mensal, 5*12, -Aporte_Mensal, 0, 0)</f>
        <v>98636.210074606701</v>
      </c>
    </row>
    <row r="21" spans="2:3" x14ac:dyDescent="0.3">
      <c r="B21" s="7" t="s">
        <v>26</v>
      </c>
      <c r="C21" s="10">
        <f>FV(Taxa_Mensal, 10*12, -Aporte_Mensal, 0, 0)</f>
        <v>279969.78662120987</v>
      </c>
    </row>
    <row r="22" spans="2:3" x14ac:dyDescent="0.3">
      <c r="B22" s="7" t="s">
        <v>27</v>
      </c>
      <c r="C22" s="10">
        <f>FV(Taxa_Mensal, 20*12, -Aporte_Mensal, 0, 0)</f>
        <v>1226195.7653185895</v>
      </c>
    </row>
    <row r="23" spans="2:3" x14ac:dyDescent="0.3">
      <c r="B23" s="7" t="s">
        <v>28</v>
      </c>
      <c r="C23" s="10">
        <f>FV(Taxa_Mensal, 30*12, -Aporte_Mensal, 0, 0)</f>
        <v>4424196.5695024515</v>
      </c>
    </row>
  </sheetData>
  <mergeCells count="5">
    <mergeCell ref="B13:C13"/>
    <mergeCell ref="E5:G5"/>
    <mergeCell ref="B5:C5"/>
    <mergeCell ref="B2:H3"/>
    <mergeCell ref="B17:C17"/>
  </mergeCells>
  <conditionalFormatting sqref="C11">
    <cfRule type="containsText" dxfId="3" priority="2" operator="containsText" text="Arrojado">
      <formula>NOT(ISERROR(SEARCH("Arrojado",C11)))</formula>
    </cfRule>
    <cfRule type="containsText" dxfId="2" priority="3" operator="containsText" text="Conservador">
      <formula>NOT(ISERROR(SEARCH("Conservador",C11)))</formula>
    </cfRule>
    <cfRule type="containsText" dxfId="1" priority="4" operator="containsText" text="Moderado">
      <formula>NOT(ISERROR(SEARCH("Moderado",C11)))</formula>
    </cfRule>
  </conditionalFormatting>
  <conditionalFormatting sqref="F7:G12">
    <cfRule type="expression" dxfId="0" priority="1">
      <formula>ISNA(F7)</formula>
    </cfRule>
  </conditionalFormatting>
  <dataValidations count="1">
    <dataValidation type="list" errorTitle="Perfil Inválido" error="Escolha um perfil válido na lista." sqref="C11" xr:uid="{00000000-0002-0000-0000-000000000000}">
      <formula1>"Conservador,Moderado,Arrojado"</formula1>
    </dataValidation>
  </dataValidations>
  <pageMargins left="0.75" right="0.75" top="1" bottom="1" header="0.5" footer="0.5"/>
  <ignoredErrors>
    <ignoredError sqref="G10:G12" evalError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9"/>
  <sheetViews>
    <sheetView workbookViewId="0"/>
  </sheetViews>
  <sheetFormatPr defaultRowHeight="14.4" x14ac:dyDescent="0.3"/>
  <cols>
    <col min="1" max="1" width="25" customWidth="1"/>
    <col min="2" max="2" width="20" customWidth="1"/>
    <col min="3" max="3" width="15" customWidth="1"/>
  </cols>
  <sheetData>
    <row r="1" spans="1:3" x14ac:dyDescent="0.3">
      <c r="A1" t="s">
        <v>29</v>
      </c>
      <c r="B1" t="s">
        <v>4</v>
      </c>
      <c r="C1" t="s">
        <v>30</v>
      </c>
    </row>
    <row r="2" spans="1:3" x14ac:dyDescent="0.3">
      <c r="A2" t="s">
        <v>31</v>
      </c>
      <c r="B2" t="s">
        <v>8</v>
      </c>
      <c r="C2" s="8">
        <v>0.6</v>
      </c>
    </row>
    <row r="3" spans="1:3" x14ac:dyDescent="0.3">
      <c r="A3" t="s">
        <v>32</v>
      </c>
      <c r="B3" t="s">
        <v>10</v>
      </c>
      <c r="C3" s="8">
        <v>0.3</v>
      </c>
    </row>
    <row r="4" spans="1:3" x14ac:dyDescent="0.3">
      <c r="A4" t="s">
        <v>33</v>
      </c>
      <c r="B4" t="s">
        <v>12</v>
      </c>
      <c r="C4" s="8">
        <v>0.1</v>
      </c>
    </row>
    <row r="5" spans="1:3" x14ac:dyDescent="0.3">
      <c r="A5" t="s">
        <v>34</v>
      </c>
      <c r="B5" t="s">
        <v>14</v>
      </c>
      <c r="C5" s="8">
        <v>0</v>
      </c>
    </row>
    <row r="6" spans="1:3" x14ac:dyDescent="0.3">
      <c r="A6" t="s">
        <v>35</v>
      </c>
      <c r="B6" t="s">
        <v>16</v>
      </c>
      <c r="C6" s="8">
        <v>0</v>
      </c>
    </row>
    <row r="7" spans="1:3" x14ac:dyDescent="0.3">
      <c r="A7" t="s">
        <v>36</v>
      </c>
      <c r="B7" t="s">
        <v>17</v>
      </c>
      <c r="C7" s="8">
        <v>0</v>
      </c>
    </row>
    <row r="8" spans="1:3" x14ac:dyDescent="0.3">
      <c r="A8" t="s">
        <v>37</v>
      </c>
      <c r="B8" t="s">
        <v>8</v>
      </c>
      <c r="C8" s="8">
        <v>0.4</v>
      </c>
    </row>
    <row r="9" spans="1:3" x14ac:dyDescent="0.3">
      <c r="A9" t="s">
        <v>38</v>
      </c>
      <c r="B9" t="s">
        <v>10</v>
      </c>
      <c r="C9" s="8">
        <v>0.4</v>
      </c>
    </row>
    <row r="10" spans="1:3" x14ac:dyDescent="0.3">
      <c r="A10" t="s">
        <v>39</v>
      </c>
      <c r="B10" t="s">
        <v>12</v>
      </c>
      <c r="C10" s="8">
        <v>0.1</v>
      </c>
    </row>
    <row r="11" spans="1:3" x14ac:dyDescent="0.3">
      <c r="A11" t="s">
        <v>40</v>
      </c>
      <c r="B11" t="s">
        <v>14</v>
      </c>
      <c r="C11" s="8">
        <v>0.1</v>
      </c>
    </row>
    <row r="12" spans="1:3" x14ac:dyDescent="0.3">
      <c r="A12" t="s">
        <v>41</v>
      </c>
      <c r="B12" t="s">
        <v>16</v>
      </c>
      <c r="C12" s="8">
        <v>0</v>
      </c>
    </row>
    <row r="13" spans="1:3" x14ac:dyDescent="0.3">
      <c r="A13" t="s">
        <v>42</v>
      </c>
      <c r="B13" t="s">
        <v>17</v>
      </c>
      <c r="C13" s="8">
        <v>0</v>
      </c>
    </row>
    <row r="14" spans="1:3" x14ac:dyDescent="0.3">
      <c r="A14" t="s">
        <v>43</v>
      </c>
      <c r="B14" t="s">
        <v>8</v>
      </c>
      <c r="C14" s="8">
        <v>0.2</v>
      </c>
    </row>
    <row r="15" spans="1:3" x14ac:dyDescent="0.3">
      <c r="A15" t="s">
        <v>44</v>
      </c>
      <c r="B15" t="s">
        <v>10</v>
      </c>
      <c r="C15" s="8">
        <v>0.2</v>
      </c>
    </row>
    <row r="16" spans="1:3" x14ac:dyDescent="0.3">
      <c r="A16" t="s">
        <v>45</v>
      </c>
      <c r="B16" t="s">
        <v>12</v>
      </c>
      <c r="C16" s="8">
        <v>0.2</v>
      </c>
    </row>
    <row r="17" spans="1:3" x14ac:dyDescent="0.3">
      <c r="A17" t="s">
        <v>46</v>
      </c>
      <c r="B17" t="s">
        <v>14</v>
      </c>
      <c r="C17" s="8">
        <v>0.2</v>
      </c>
    </row>
    <row r="18" spans="1:3" x14ac:dyDescent="0.3">
      <c r="A18" t="s">
        <v>47</v>
      </c>
      <c r="B18" t="s">
        <v>16</v>
      </c>
      <c r="C18" s="8">
        <v>0.1</v>
      </c>
    </row>
    <row r="19" spans="1:3" x14ac:dyDescent="0.3">
      <c r="A19" t="s">
        <v>48</v>
      </c>
      <c r="B19" t="s">
        <v>17</v>
      </c>
      <c r="C19" s="8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6</vt:i4>
      </vt:variant>
    </vt:vector>
  </HeadingPairs>
  <TitlesOfParts>
    <vt:vector size="8" baseType="lpstr">
      <vt:lpstr>Simulador</vt:lpstr>
      <vt:lpstr>Apoio</vt:lpstr>
      <vt:lpstr>Aporte_Mensal</vt:lpstr>
      <vt:lpstr>Patrimonio_Acumulado</vt:lpstr>
      <vt:lpstr>Perfil_Escolhido</vt:lpstr>
      <vt:lpstr>Prazo_Anos</vt:lpstr>
      <vt:lpstr>Salario</vt:lpstr>
      <vt:lpstr>Taxa_Mensal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Roque Carneiro</cp:lastModifiedBy>
  <dcterms:created xsi:type="dcterms:W3CDTF">2026-10-01T22:09:26Z</dcterms:created>
  <dcterms:modified xsi:type="dcterms:W3CDTF">2026-10-02T13:24:08Z</dcterms:modified>
</cp:coreProperties>
</file>