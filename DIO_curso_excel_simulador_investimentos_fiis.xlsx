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rcar\Downloads\"/>
    </mc:Choice>
  </mc:AlternateContent>
  <xr:revisionPtr revIDLastSave="0" documentId="13_ncr:1_{E66E929F-DCFF-4735-B1AF-1CE84D87D10C}" xr6:coauthVersionLast="47" xr6:coauthVersionMax="47" xr10:uidLastSave="{00000000-0000-0000-0000-000000000000}"/>
  <bookViews>
    <workbookView xWindow="-28920" yWindow="-120" windowWidth="29040" windowHeight="15720" xr2:uid="{4AD52ADE-1090-45D1-9329-501A0ABD2497}"/>
  </bookViews>
  <sheets>
    <sheet name="Planilha1" sheetId="1" r:id="rId1"/>
    <sheet name="Apoio" sheetId="2" r:id="rId2"/>
  </sheets>
  <definedNames>
    <definedName name="Aporte_Mensal">Planilha1!$C$9</definedName>
    <definedName name="Patrimonio_Acumulado">Planilha1!$C$15</definedName>
    <definedName name="Perfil_Escolhido">Planilha1!$C$12</definedName>
    <definedName name="Prazo_Anos">Planilha1!$C$10</definedName>
    <definedName name="Salario">Planilha1!$C$7</definedName>
    <definedName name="Taxa_Mensal">Planilha1!$C$11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F10" i="1"/>
  <c r="G10" i="1" s="1"/>
  <c r="F11" i="1"/>
  <c r="G11" i="1" s="1"/>
  <c r="F12" i="1"/>
  <c r="G12" i="1" s="1"/>
  <c r="F13" i="1"/>
  <c r="F8" i="1"/>
  <c r="G13" i="1"/>
  <c r="C24" i="1"/>
  <c r="C23" i="1"/>
  <c r="C22" i="1"/>
  <c r="C21" i="1"/>
  <c r="C20" i="1"/>
  <c r="C15" i="1"/>
  <c r="C16" i="1" s="1"/>
  <c r="C8" i="1"/>
</calcChain>
</file>

<file path=xl/sharedStrings.xml><?xml version="1.0" encoding="utf-8"?>
<sst xmlns="http://schemas.openxmlformats.org/spreadsheetml/2006/main" count="69" uniqueCount="50">
  <si>
    <t>Chave Composta</t>
  </si>
  <si>
    <t>Tipo de Fundo</t>
  </si>
  <si>
    <t>Percentual</t>
  </si>
  <si>
    <t>ConservadorTijolo</t>
  </si>
  <si>
    <t>Tijolo</t>
  </si>
  <si>
    <t>ConservadorPapel</t>
  </si>
  <si>
    <t>Papel</t>
  </si>
  <si>
    <t>ConservadorFiagro</t>
  </si>
  <si>
    <t>Fiagro</t>
  </si>
  <si>
    <t>ConservadorFoF</t>
  </si>
  <si>
    <t>FoF</t>
  </si>
  <si>
    <t>ConservadorInfraestrutura</t>
  </si>
  <si>
    <t>Infraestrutura</t>
  </si>
  <si>
    <t>ConservadorMisto</t>
  </si>
  <si>
    <t>Misto</t>
  </si>
  <si>
    <t>ModeradoTijolo</t>
  </si>
  <si>
    <t>ModeradoPapel</t>
  </si>
  <si>
    <t>ModeradoFiagro</t>
  </si>
  <si>
    <t>ModeradoFoF</t>
  </si>
  <si>
    <t>ModeradoInfraestrutura</t>
  </si>
  <si>
    <t>ModeradoMisto</t>
  </si>
  <si>
    <t>ArrojadoTijolo</t>
  </si>
  <si>
    <t>ArrojadoPapel</t>
  </si>
  <si>
    <t>ArrojadoFiagro</t>
  </si>
  <si>
    <t>ArrojadoFoF</t>
  </si>
  <si>
    <t>ArrojadoInfraestrutura</t>
  </si>
  <si>
    <t>ArrojadoMisto</t>
  </si>
  <si>
    <t>SIMULADOR DE INVESTIMENTOS EM FIIs</t>
  </si>
  <si>
    <t>Parâmetros de Investimento</t>
  </si>
  <si>
    <t>Alocação Recomendada da Carteira</t>
  </si>
  <si>
    <t>Salário Mensal:</t>
  </si>
  <si>
    <t>% Alocação</t>
  </si>
  <si>
    <t>Valor Aportado</t>
  </si>
  <si>
    <t>Aporte Sugerido (30%):</t>
  </si>
  <si>
    <t>Aporte Mensal (R$):</t>
  </si>
  <si>
    <t>Prazo (Anos):</t>
  </si>
  <si>
    <t>Rendimento Mensal (%):</t>
  </si>
  <si>
    <t>Perfil do Investidor:</t>
  </si>
  <si>
    <t>Resultados da Simulação</t>
  </si>
  <si>
    <t>Patrimônio Acumulado:</t>
  </si>
  <si>
    <t>Dividendos Mensais:</t>
  </si>
  <si>
    <t>Cenários de Longo Prazo</t>
  </si>
  <si>
    <t>Prazo</t>
  </si>
  <si>
    <t>Patrimônio Estimado</t>
  </si>
  <si>
    <t>2 anos</t>
  </si>
  <si>
    <t>5 anos</t>
  </si>
  <si>
    <t>10 anos</t>
  </si>
  <si>
    <t>20 anos</t>
  </si>
  <si>
    <t>30 anos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</si>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</sst>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0" applyNumberFormat="1"/>
    <xf numFmtId="0" fontId="4" fillId="0" borderId="0" xfId="0" applyFont="1"/>
    <xf numFmtId="44" fontId="0" fillId="3" borderId="1" xfId="1" applyFont="1" applyFill="1" applyBorder="1"/>
    <xf numFmtId="0" fontId="4" fillId="0" borderId="1" xfId="0" applyFont="1" applyBorder="1"/>
    <xf numFmtId="44" fontId="0" fillId="4" borderId="1" xfId="1" applyFont="1" applyFill="1" applyBorder="1"/>
    <xf numFmtId="0" fontId="0" fillId="0" borderId="1" xfId="0" applyBorder="1"/>
    <xf numFmtId="1" fontId="0" fillId="3" borderId="1" xfId="0" applyNumberFormat="1" applyFill="1" applyBorder="1"/>
    <xf numFmtId="10" fontId="0" fillId="3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8" fontId="0" fillId="4" borderId="1" xfId="1" applyNumberFormat="1" applyFont="1" applyFill="1" applyBorder="1"/>
    <xf numFmtId="9" fontId="5" fillId="4" borderId="1" xfId="0" applyNumberFormat="1" applyFont="1" applyFill="1" applyBorder="1"/>
  </cellXfs>
  <cellStyles count="2">
    <cellStyle name="Moeda" xfId="1" builtinId="4"/>
    <cellStyle name="Normal" xfId="0" builtinId="0"/>
  </cellStyles>
  <dxfs count="9">
    <dxf>
      <font>
        <color theme="0" tint="-4.9989318521683403E-2"/>
      </font>
    </dxf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 patternType="solid">
          <fgColor theme="0"/>
          <bgColor theme="5" tint="0.79998168889431442"/>
        </patternFill>
      </fill>
    </dxf>
    <dxf>
      <font>
        <b/>
        <i val="0"/>
        <color theme="9"/>
      </font>
      <fill>
        <patternFill>
          <bgColor theme="9" tint="0.79998168889431442"/>
        </patternFill>
      </fill>
    </dxf>
    <dxf>
      <font>
        <color theme="0" tint="-4.9989318521683403E-2"/>
      </font>
      <numFmt numFmtId="164" formatCode=";;;"/>
    </dxf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rgb="FF92D050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Divisão da Carteira por Fundo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439322320155758E-2"/>
          <c:y val="0.15791794596157829"/>
          <c:w val="0.60102648886810672"/>
          <c:h val="0.77480187598425121"/>
        </c:manualLayout>
      </c:layout>
      <c:doughnutChart>
        <c:varyColors val="1"/>
        <c:ser>
          <c:idx val="0"/>
          <c:order val="0"/>
          <c:tx>
            <c:strRef>
              <c:f>Planilha1!$F$7</c:f>
              <c:strCache>
                <c:ptCount val="1"/>
                <c:pt idx="0">
                  <c:v>% Alocação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Planilha1!$E$8:$E$13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Fiagro</c:v>
                </c:pt>
                <c:pt idx="3">
                  <c:v>FoF</c:v>
                </c:pt>
                <c:pt idx="4">
                  <c:v>Infraestrutura</c:v>
                </c:pt>
                <c:pt idx="5">
                  <c:v>Misto</c:v>
                </c:pt>
              </c:strCache>
            </c:strRef>
          </c:cat>
          <c:val>
            <c:numRef>
              <c:f>Planilha1!$F$8:$F$13</c:f>
              <c:numCache>
                <c:formatCode>0%</c:formatCode>
                <c:ptCount val="6"/>
                <c:pt idx="0">
                  <c:v>0.6</c:v>
                </c:pt>
                <c:pt idx="1">
                  <c:v>0.3</c:v>
                </c:pt>
                <c:pt idx="2">
                  <c:v>0.1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6A-40E9-90C2-D651CE11FC3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98915460780867"/>
          <c:y val="0.20987672482801503"/>
          <c:w val="0.22074848629857982"/>
          <c:h val="0.54205553823317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245744</xdr:colOff>
      <xdr:row>13</xdr:row>
      <xdr:rowOff>171448</xdr:rowOff>
    </xdr:from>
    <xdr:ext cx="3792855" cy="27870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540BC-6E19-4021-AFBC-E567AD1F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7BD8-76FB-4064-9DA2-94DD5F6C7AC8}">
  <sheetPr codeName="Planilha1"/>
  <dimension ref="B3:H24"/>
  <sheetViews>
    <sheetView showGridLines="0" tabSelected="1" workbookViewId="0">
      <selection activeCell="C12" sqref="C12"/>
    </sheetView>
  </sheetViews>
  <sheetFormatPr defaultRowHeight="14.4" x14ac:dyDescent="0.3"/>
  <cols>
    <col min="2" max="2" width="22" bestFit="1" customWidth="1"/>
    <col min="3" max="3" width="18.77734375" bestFit="1" customWidth="1"/>
    <col min="5" max="5" width="13.109375" bestFit="1" customWidth="1"/>
    <col min="6" max="6" width="10.5546875" bestFit="1" customWidth="1"/>
    <col min="7" max="7" width="14" bestFit="1" customWidth="1"/>
  </cols>
  <sheetData>
    <row r="3" spans="2:8" x14ac:dyDescent="0.3">
      <c r="B3" s="11" t="s">
        <v>27</v>
      </c>
      <c r="C3" s="12"/>
      <c r="D3" s="12"/>
      <c r="E3" s="12"/>
      <c r="F3" s="12"/>
      <c r="G3" s="12"/>
      <c r="H3" s="12"/>
    </row>
    <row r="4" spans="2:8" x14ac:dyDescent="0.3">
      <c r="B4" s="12"/>
      <c r="C4" s="12"/>
      <c r="D4" s="12"/>
      <c r="E4" s="12"/>
      <c r="F4" s="12"/>
      <c r="G4" s="12"/>
      <c r="H4" s="12"/>
    </row>
    <row r="6" spans="2:8" x14ac:dyDescent="0.3">
      <c r="B6" s="13" t="s">
        <v>28</v>
      </c>
      <c r="C6" s="12"/>
      <c r="E6" s="14" t="s">
        <v>29</v>
      </c>
      <c r="F6" s="12"/>
      <c r="G6" s="12"/>
    </row>
    <row r="7" spans="2:8" x14ac:dyDescent="0.3">
      <c r="B7" s="2" t="s">
        <v>30</v>
      </c>
      <c r="C7" s="3">
        <v>5000</v>
      </c>
      <c r="E7" s="4" t="s">
        <v>1</v>
      </c>
      <c r="F7" s="4" t="s">
        <v>31</v>
      </c>
      <c r="G7" s="4" t="s">
        <v>32</v>
      </c>
    </row>
    <row r="8" spans="2:8" x14ac:dyDescent="0.3">
      <c r="B8" s="2" t="s">
        <v>33</v>
      </c>
      <c r="C8" s="5">
        <f>Salario*0.3</f>
        <v>1500</v>
      </c>
      <c r="E8" s="6" t="s">
        <v>4</v>
      </c>
      <c r="F8" s="16">
        <f>IF(VLOOKUP(Perfil_Escolhido&amp;E8,Apoio!$A$2:$C$19,3,FALSE)=0, NA(), VLOOKUP(Perfil_Escolhido&amp;E8,Apoio!$A$2:$C$19,3,FALSE))</f>
        <v>0.6</v>
      </c>
      <c r="G8" s="5">
        <v>240</v>
      </c>
    </row>
    <row r="9" spans="2:8" x14ac:dyDescent="0.3">
      <c r="B9" s="2" t="s">
        <v>34</v>
      </c>
      <c r="C9" s="3">
        <v>1500</v>
      </c>
      <c r="E9" s="6" t="s">
        <v>6</v>
      </c>
      <c r="F9" s="16">
        <f>IF(VLOOKUP(Perfil_Escolhido&amp;E9,Apoio!$A$2:$C$19,3,FALSE)=0, NA(), VLOOKUP(Perfil_Escolhido&amp;E9,Apoio!$A$2:$C$19,3,FALSE))</f>
        <v>0.3</v>
      </c>
      <c r="G9" s="5">
        <f t="shared" ref="G9:G13" si="0">F9 * Aporte_Mensal</f>
        <v>450</v>
      </c>
    </row>
    <row r="10" spans="2:8" x14ac:dyDescent="0.3">
      <c r="B10" s="2" t="s">
        <v>35</v>
      </c>
      <c r="C10" s="7">
        <v>10</v>
      </c>
      <c r="E10" s="6" t="s">
        <v>8</v>
      </c>
      <c r="F10" s="16">
        <f>IF(VLOOKUP(Perfil_Escolhido&amp;E10,Apoio!$A$2:$C$19,3,FALSE)=0, NA(), VLOOKUP(Perfil_Escolhido&amp;E10,Apoio!$A$2:$C$19,3,FALSE))</f>
        <v>0.1</v>
      </c>
      <c r="G10" s="5">
        <f t="shared" si="0"/>
        <v>150</v>
      </c>
    </row>
    <row r="11" spans="2:8" x14ac:dyDescent="0.3">
      <c r="B11" s="2" t="s">
        <v>36</v>
      </c>
      <c r="C11" s="8">
        <v>1.0200000000000001E-2</v>
      </c>
      <c r="E11" s="6" t="s">
        <v>10</v>
      </c>
      <c r="F11" s="16" t="e">
        <f>IF(VLOOKUP(Perfil_Escolhido&amp;E11,Apoio!$A$2:$C$19,3,FALSE)=0, NA(), VLOOKUP(Perfil_Escolhido&amp;E11,Apoio!$A$2:$C$19,3,FALSE))</f>
        <v>#N/A</v>
      </c>
      <c r="G11" s="5" t="e">
        <f t="shared" si="0"/>
        <v>#N/A</v>
      </c>
    </row>
    <row r="12" spans="2:8" x14ac:dyDescent="0.3">
      <c r="B12" s="2" t="s">
        <v>37</v>
      </c>
      <c r="C12" s="9" t="s">
        <v>49</v>
      </c>
      <c r="E12" s="6" t="s">
        <v>12</v>
      </c>
      <c r="F12" s="16" t="e">
        <f>IF(VLOOKUP(Perfil_Escolhido&amp;E12,Apoio!$A$2:$C$19,3,FALSE)=0, NA(), VLOOKUP(Perfil_Escolhido&amp;E12,Apoio!$A$2:$C$19,3,FALSE))</f>
        <v>#N/A</v>
      </c>
      <c r="G12" s="5" t="e">
        <f t="shared" si="0"/>
        <v>#N/A</v>
      </c>
    </row>
    <row r="13" spans="2:8" x14ac:dyDescent="0.3">
      <c r="E13" s="6" t="s">
        <v>14</v>
      </c>
      <c r="F13" s="16" t="e">
        <f>IF(VLOOKUP(Perfil_Escolhido&amp;E13,Apoio!$A$2:$C$19,3,FALSE)=0, NA(), VLOOKUP(Perfil_Escolhido&amp;E13,Apoio!$A$2:$C$19,3,FALSE))</f>
        <v>#N/A</v>
      </c>
      <c r="G13" s="5" t="e">
        <f t="shared" si="0"/>
        <v>#N/A</v>
      </c>
    </row>
    <row r="14" spans="2:8" x14ac:dyDescent="0.3">
      <c r="B14" s="14" t="s">
        <v>38</v>
      </c>
      <c r="C14" s="12"/>
    </row>
    <row r="15" spans="2:8" x14ac:dyDescent="0.3">
      <c r="B15" s="2" t="s">
        <v>39</v>
      </c>
      <c r="C15" s="15">
        <f>FV(Taxa_Mensal, Prazo_Anos*12, -Aporte_Mensal, 0, 0)</f>
        <v>349962.23327651236</v>
      </c>
    </row>
    <row r="16" spans="2:8" x14ac:dyDescent="0.3">
      <c r="B16" s="2" t="s">
        <v>40</v>
      </c>
      <c r="C16" s="5">
        <f>Patrimonio_Acumulado * Taxa_Mensal</f>
        <v>3569.6147794204262</v>
      </c>
    </row>
    <row r="18" spans="2:3" x14ac:dyDescent="0.3">
      <c r="B18" s="14" t="s">
        <v>41</v>
      </c>
      <c r="C18" s="12"/>
    </row>
    <row r="19" spans="2:3" x14ac:dyDescent="0.3">
      <c r="B19" s="4" t="s">
        <v>42</v>
      </c>
      <c r="C19" s="4" t="s">
        <v>43</v>
      </c>
    </row>
    <row r="20" spans="2:3" x14ac:dyDescent="0.3">
      <c r="B20" s="10" t="s">
        <v>44</v>
      </c>
      <c r="C20" s="15">
        <f>FV(Taxa_Mensal, 2*12, -Aporte_Mensal, 0, 0)</f>
        <v>40556.293038048781</v>
      </c>
    </row>
    <row r="21" spans="2:3" x14ac:dyDescent="0.3">
      <c r="B21" s="10" t="s">
        <v>45</v>
      </c>
      <c r="C21" s="15">
        <f>FV(Taxa_Mensal, 5*12, -Aporte_Mensal, 0, 0)</f>
        <v>123295.26259325838</v>
      </c>
    </row>
    <row r="22" spans="2:3" x14ac:dyDescent="0.3">
      <c r="B22" s="10" t="s">
        <v>46</v>
      </c>
      <c r="C22" s="15">
        <f>FV(Taxa_Mensal, 10*12, -Aporte_Mensal, 0, 0)</f>
        <v>349962.23327651236</v>
      </c>
    </row>
    <row r="23" spans="2:3" x14ac:dyDescent="0.3">
      <c r="B23" s="10" t="s">
        <v>47</v>
      </c>
      <c r="C23" s="15">
        <f>FV(Taxa_Mensal, 20*12, -Aporte_Mensal, 0, 0)</f>
        <v>1532744.7066482368</v>
      </c>
    </row>
    <row r="24" spans="2:3" x14ac:dyDescent="0.3">
      <c r="B24" s="10" t="s">
        <v>48</v>
      </c>
      <c r="C24" s="15">
        <f>FV(Taxa_Mensal, 30*12, -Aporte_Mensal, 0, 0)</f>
        <v>5530245.7118780641</v>
      </c>
    </row>
  </sheetData>
  <mergeCells count="5">
    <mergeCell ref="B3:H4"/>
    <mergeCell ref="B6:C6"/>
    <mergeCell ref="E6:G6"/>
    <mergeCell ref="B14:C14"/>
    <mergeCell ref="B18:C18"/>
  </mergeCells>
  <conditionalFormatting sqref="C12">
    <cfRule type="containsText" dxfId="4" priority="4" operator="containsText" text="Conservador">
      <formula>NOT(ISERROR(SEARCH("Conservador",C12)))</formula>
    </cfRule>
    <cfRule type="containsText" dxfId="2" priority="3" operator="containsText" text="Moderado">
      <formula>NOT(ISERROR(SEARCH("Moderado",C12)))</formula>
    </cfRule>
    <cfRule type="containsText" dxfId="3" priority="2" operator="containsText" text="Arrojado">
      <formula>NOT(ISERROR(SEARCH("Arrojado",C12)))</formula>
    </cfRule>
  </conditionalFormatting>
  <conditionalFormatting sqref="F8:G13">
    <cfRule type="containsErrors" dxfId="0" priority="1">
      <formula>ISERROR(F8)</formula>
    </cfRule>
  </conditionalFormatting>
  <dataValidations count="1">
    <dataValidation type="list" errorTitle="Perfil Inválido" error="Escolha um perfil válido na lista." sqref="C12" xr:uid="{9D7BFD68-B885-49C9-93D6-6E953E901B0A}">
      <formula1>"Conservador,Moderado,Arrojado"</formula1>
    </dataValidation>
  </dataValidations>
  <pageMargins left="0.511811024" right="0.511811024" top="0.78740157499999996" bottom="0.78740157499999996" header="0.31496062000000002" footer="0.31496062000000002"/>
  <ignoredErrors>
    <ignoredError sqref="G11:G13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0EEE-87F8-4D1E-8B24-672CCB9BE09D}">
  <dimension ref="A1:C19"/>
  <sheetViews>
    <sheetView workbookViewId="0">
      <selection activeCell="A2" sqref="A2"/>
    </sheetView>
  </sheetViews>
  <sheetFormatPr defaultRowHeight="14.4" x14ac:dyDescent="0.3"/>
  <cols>
    <col min="1" max="1" width="25.109375" customWidth="1"/>
    <col min="2" max="2" width="13.5546875" customWidth="1"/>
    <col min="3" max="3" width="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0.6</v>
      </c>
    </row>
    <row r="3" spans="1:3" x14ac:dyDescent="0.3">
      <c r="A3" t="s">
        <v>5</v>
      </c>
      <c r="B3" t="s">
        <v>6</v>
      </c>
      <c r="C3" s="1">
        <v>0.3</v>
      </c>
    </row>
    <row r="4" spans="1:3" x14ac:dyDescent="0.3">
      <c r="A4" t="s">
        <v>7</v>
      </c>
      <c r="B4" t="s">
        <v>8</v>
      </c>
      <c r="C4" s="1">
        <v>0.1</v>
      </c>
    </row>
    <row r="5" spans="1:3" x14ac:dyDescent="0.3">
      <c r="A5" t="s">
        <v>9</v>
      </c>
      <c r="B5" t="s">
        <v>10</v>
      </c>
      <c r="C5" s="1">
        <v>0</v>
      </c>
    </row>
    <row r="6" spans="1:3" x14ac:dyDescent="0.3">
      <c r="A6" t="s">
        <v>11</v>
      </c>
      <c r="B6" t="s">
        <v>12</v>
      </c>
      <c r="C6" s="1">
        <v>0</v>
      </c>
    </row>
    <row r="7" spans="1:3" x14ac:dyDescent="0.3">
      <c r="A7" t="s">
        <v>13</v>
      </c>
      <c r="B7" t="s">
        <v>14</v>
      </c>
      <c r="C7" s="1">
        <v>0</v>
      </c>
    </row>
    <row r="8" spans="1:3" x14ac:dyDescent="0.3">
      <c r="A8" t="s">
        <v>15</v>
      </c>
      <c r="B8" t="s">
        <v>4</v>
      </c>
      <c r="C8" s="1">
        <v>0.4</v>
      </c>
    </row>
    <row r="9" spans="1:3" x14ac:dyDescent="0.3">
      <c r="A9" t="s">
        <v>16</v>
      </c>
      <c r="B9" t="s">
        <v>6</v>
      </c>
      <c r="C9" s="1">
        <v>0.4</v>
      </c>
    </row>
    <row r="10" spans="1:3" x14ac:dyDescent="0.3">
      <c r="A10" t="s">
        <v>17</v>
      </c>
      <c r="B10" t="s">
        <v>8</v>
      </c>
      <c r="C10" s="1">
        <v>0.1</v>
      </c>
    </row>
    <row r="11" spans="1:3" x14ac:dyDescent="0.3">
      <c r="A11" t="s">
        <v>18</v>
      </c>
      <c r="B11" t="s">
        <v>10</v>
      </c>
      <c r="C11" s="1">
        <v>0.1</v>
      </c>
    </row>
    <row r="12" spans="1:3" x14ac:dyDescent="0.3">
      <c r="A12" t="s">
        <v>19</v>
      </c>
      <c r="B12" t="s">
        <v>12</v>
      </c>
      <c r="C12" s="1">
        <v>0</v>
      </c>
    </row>
    <row r="13" spans="1:3" x14ac:dyDescent="0.3">
      <c r="A13" t="s">
        <v>20</v>
      </c>
      <c r="B13" t="s">
        <v>14</v>
      </c>
      <c r="C13" s="1">
        <v>0</v>
      </c>
    </row>
    <row r="14" spans="1:3" x14ac:dyDescent="0.3">
      <c r="A14" t="s">
        <v>21</v>
      </c>
      <c r="B14" t="s">
        <v>4</v>
      </c>
      <c r="C14" s="1">
        <v>0.2</v>
      </c>
    </row>
    <row r="15" spans="1:3" x14ac:dyDescent="0.3">
      <c r="A15" t="s">
        <v>22</v>
      </c>
      <c r="B15" t="s">
        <v>6</v>
      </c>
      <c r="C15" s="1">
        <v>0.2</v>
      </c>
    </row>
    <row r="16" spans="1:3" x14ac:dyDescent="0.3">
      <c r="A16" t="s">
        <v>23</v>
      </c>
      <c r="B16" t="s">
        <v>8</v>
      </c>
      <c r="C16" s="1">
        <v>0.2</v>
      </c>
    </row>
    <row r="17" spans="1:3" x14ac:dyDescent="0.3">
      <c r="A17" t="s">
        <v>24</v>
      </c>
      <c r="B17" t="s">
        <v>10</v>
      </c>
      <c r="C17" s="1">
        <v>0.2</v>
      </c>
    </row>
    <row r="18" spans="1:3" x14ac:dyDescent="0.3">
      <c r="A18" t="s">
        <v>25</v>
      </c>
      <c r="B18" t="s">
        <v>12</v>
      </c>
      <c r="C18" s="1">
        <v>0.1</v>
      </c>
    </row>
    <row r="19" spans="1:3" x14ac:dyDescent="0.3">
      <c r="A19" t="s">
        <v>26</v>
      </c>
      <c r="B19" t="s">
        <v>14</v>
      </c>
      <c r="C19" s="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Apoio</vt:lpstr>
      <vt:lpstr>Aporte_Mensal</vt:lpstr>
      <vt:lpstr>Patrimonio_Acumulado</vt:lpstr>
      <vt:lpstr>Perfil_Escolhido</vt:lpstr>
      <vt:lpstr>Prazo_Anos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Roque Carneiro</dc:creator>
  <cp:lastModifiedBy>Pedro Roque Carneiro</cp:lastModifiedBy>
  <dcterms:created xsi:type="dcterms:W3CDTF">2026-10-02T13:32:49Z</dcterms:created>
  <dcterms:modified xsi:type="dcterms:W3CDTF">2026-10-02T14:32:39Z</dcterms:modified>
</cp:coreProperties>
</file>